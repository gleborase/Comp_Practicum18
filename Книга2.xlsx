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330" windowHeight="4575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4" l="1"/>
  <c r="J6" i="4"/>
  <c r="J5" i="4"/>
  <c r="J3" i="4"/>
  <c r="J2" i="4"/>
  <c r="B10" i="3"/>
  <c r="B9" i="3"/>
  <c r="B8" i="3"/>
  <c r="F12" i="2"/>
  <c r="E12" i="2"/>
  <c r="F11" i="2"/>
  <c r="E11" i="2"/>
  <c r="F10" i="2"/>
  <c r="E10" i="2"/>
  <c r="F8" i="2"/>
  <c r="E8" i="2"/>
  <c r="F7" i="2"/>
  <c r="E7" i="2"/>
  <c r="F6" i="2"/>
  <c r="E6" i="2"/>
  <c r="F5" i="2"/>
  <c r="E5" i="2"/>
  <c r="F4" i="2"/>
  <c r="E4" i="2"/>
  <c r="F3" i="2"/>
  <c r="E3" i="2"/>
  <c r="E9" i="2"/>
</calcChain>
</file>

<file path=xl/sharedStrings.xml><?xml version="1.0" encoding="utf-8"?>
<sst xmlns="http://schemas.openxmlformats.org/spreadsheetml/2006/main" count="83" uniqueCount="67">
  <si>
    <t>Бобров Игорь</t>
  </si>
  <si>
    <t>=c3+d3+e3</t>
  </si>
  <si>
    <t>=(с3+d3+e3)/3</t>
  </si>
  <si>
    <t>Городилов Андрей</t>
  </si>
  <si>
    <t>=c4+d4+e4</t>
  </si>
  <si>
    <t>=(с4+d4+e4)/3</t>
  </si>
  <si>
    <t>Лосева Ольга</t>
  </si>
  <si>
    <t>=c5+d5+e5</t>
  </si>
  <si>
    <t>=(с5+d5+e5)/3</t>
  </si>
  <si>
    <t>Орехова Татьяна</t>
  </si>
  <si>
    <t>=c6+d6+e6</t>
  </si>
  <si>
    <t>=(с6+d6+e6)/3</t>
  </si>
  <si>
    <t>Орлова Анна</t>
  </si>
  <si>
    <t>=c7+d7+e7</t>
  </si>
  <si>
    <t>=(с7+d7+e7)/3</t>
  </si>
  <si>
    <t>Петров Олег</t>
  </si>
  <si>
    <t>=c8+d8+e8</t>
  </si>
  <si>
    <t>=(с8+d8+e8)/3</t>
  </si>
  <si>
    <t>Семенова Ирина</t>
  </si>
  <si>
    <t>=c9+d9+e9</t>
  </si>
  <si>
    <t>=(с9+d9+e9)/3</t>
  </si>
  <si>
    <t>Симонова Елена</t>
  </si>
  <si>
    <t>=c10+d10+e10</t>
  </si>
  <si>
    <t>=(с10+d10+e10)/3</t>
  </si>
  <si>
    <t>Сомов Виктор</t>
  </si>
  <si>
    <t>=c11+d11+e11</t>
  </si>
  <si>
    <t>=(с11+d11+e11)/3</t>
  </si>
  <si>
    <t>Суслов Иван</t>
  </si>
  <si>
    <t>=c12+d12+e12</t>
  </si>
  <si>
    <t>=(с12+d12+e12)/3</t>
  </si>
  <si>
    <t>Абитуриенты</t>
  </si>
  <si>
    <t>Фамилия                Имя</t>
  </si>
  <si>
    <t>Математика</t>
  </si>
  <si>
    <t>Ф изика</t>
  </si>
  <si>
    <t>Сочинение</t>
  </si>
  <si>
    <t>Сумма балов</t>
  </si>
  <si>
    <t>Средний бал</t>
  </si>
  <si>
    <t>Фамилия Имя</t>
  </si>
  <si>
    <t>Физика</t>
  </si>
  <si>
    <t>Глубина(м)</t>
  </si>
  <si>
    <t>Байкал</t>
  </si>
  <si>
    <t>Таньканьика</t>
  </si>
  <si>
    <t>Виктория</t>
  </si>
  <si>
    <t>Гурон</t>
  </si>
  <si>
    <t>Аральское море</t>
  </si>
  <si>
    <t>Мичиган</t>
  </si>
  <si>
    <t>Самое мелкое озеро(глубина)</t>
  </si>
  <si>
    <t>Самое обширное озеро</t>
  </si>
  <si>
    <t>Средняя высота озер над уровнем моря</t>
  </si>
  <si>
    <t>Название озер</t>
  </si>
  <si>
    <t xml:space="preserve">Площадь (тыс. Кв.м) </t>
  </si>
  <si>
    <t>Высота над уровнем моря</t>
  </si>
  <si>
    <t>№№</t>
  </si>
  <si>
    <t>Предмет Фамилии</t>
  </si>
  <si>
    <t>Русский язык</t>
  </si>
  <si>
    <t>Литература</t>
  </si>
  <si>
    <t>Алгебра</t>
  </si>
  <si>
    <t>Геометрия</t>
  </si>
  <si>
    <t>География</t>
  </si>
  <si>
    <t>Химия</t>
  </si>
  <si>
    <t>Средний балл</t>
  </si>
  <si>
    <t>Иванов петя</t>
  </si>
  <si>
    <t>Васильев Вася</t>
  </si>
  <si>
    <t xml:space="preserve">Ли Коля </t>
  </si>
  <si>
    <t>Ян Миша</t>
  </si>
  <si>
    <t>Сидорова Таня</t>
  </si>
  <si>
    <t>Средний балл по группе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</si>
</sst>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gray0625"/>
    </fill>
    <fill>
      <patternFill patternType="darkUp">
        <bgColor theme="3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0" fontId="2" fillId="0" borderId="1" xfId="1" applyBorder="1"/>
    <xf numFmtId="0" fontId="2" fillId="0" borderId="1" xfId="1" applyBorder="1" applyAlignment="1">
      <alignment horizontal="center" vertical="center" textRotation="90" wrapText="1"/>
    </xf>
    <xf numFmtId="49" fontId="2" fillId="0" borderId="1" xfId="1" applyNumberFormat="1" applyBorder="1"/>
    <xf numFmtId="49" fontId="2" fillId="0" borderId="1" xfId="1" quotePrefix="1" applyNumberFormat="1" applyBorder="1"/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textRotation="90" wrapText="1"/>
    </xf>
    <xf numFmtId="0" fontId="2" fillId="0" borderId="1" xfId="1" quotePrefix="1" applyBorder="1"/>
    <xf numFmtId="0" fontId="2" fillId="0" borderId="0" xfId="1"/>
    <xf numFmtId="0" fontId="2" fillId="0" borderId="0" xfId="1" applyAlignment="1">
      <alignment horizontal="center" wrapText="1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1" fillId="2" borderId="0" xfId="1" applyFont="1" applyFill="1" applyAlignment="1"/>
    <xf numFmtId="0" fontId="1" fillId="0" borderId="0" xfId="1" applyFont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1" fillId="3" borderId="0" xfId="1" applyFont="1" applyFill="1"/>
    <xf numFmtId="0" fontId="1" fillId="4" borderId="0" xfId="1" applyFont="1" applyFill="1"/>
    <xf numFmtId="0" fontId="1" fillId="5" borderId="0" xfId="1" applyFont="1" applyFill="1" applyAlignment="1">
      <alignment horizontal="center" vertical="center"/>
    </xf>
    <xf numFmtId="0" fontId="1" fillId="5" borderId="0" xfId="1" applyFont="1" applyFill="1"/>
    <xf numFmtId="0" fontId="1" fillId="5" borderId="0" xfId="1" applyFont="1" applyFill="1" applyAlignment="1">
      <alignment horizontal="center" vertical="center" textRotation="90"/>
    </xf>
    <xf numFmtId="0" fontId="1" fillId="6" borderId="0" xfId="1" applyFont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7" sqref="F17"/>
    </sheetView>
  </sheetViews>
  <sheetFormatPr defaultRowHeight="15" x14ac:dyDescent="0.25"/>
  <cols>
    <col min="1" max="1" width="20.140625" customWidth="1"/>
    <col min="2" max="2" width="6.28515625" customWidth="1"/>
    <col min="3" max="3" width="5.85546875" customWidth="1"/>
    <col min="4" max="4" width="6" customWidth="1"/>
    <col min="5" max="5" width="14.140625" customWidth="1"/>
    <col min="6" max="6" width="17.140625" customWidth="1"/>
  </cols>
  <sheetData>
    <row r="1" spans="1:6" x14ac:dyDescent="0.25">
      <c r="A1" s="1" t="s">
        <v>30</v>
      </c>
      <c r="B1" s="2"/>
      <c r="C1" s="2"/>
      <c r="D1" s="2"/>
      <c r="E1" s="2"/>
      <c r="F1" s="3"/>
    </row>
    <row r="2" spans="1:6" ht="64.5" customHeight="1" x14ac:dyDescent="0.25">
      <c r="A2" s="8" t="s">
        <v>31</v>
      </c>
      <c r="B2" s="5" t="s">
        <v>32</v>
      </c>
      <c r="C2" s="5" t="s">
        <v>33</v>
      </c>
      <c r="D2" s="5" t="s">
        <v>34</v>
      </c>
      <c r="E2" s="9" t="s">
        <v>35</v>
      </c>
      <c r="F2" s="9" t="s">
        <v>36</v>
      </c>
    </row>
    <row r="3" spans="1:6" x14ac:dyDescent="0.25">
      <c r="A3" s="4" t="s">
        <v>0</v>
      </c>
      <c r="B3" s="4">
        <v>5</v>
      </c>
      <c r="C3" s="4">
        <v>4</v>
      </c>
      <c r="D3" s="4">
        <v>3</v>
      </c>
      <c r="E3" s="6" t="s">
        <v>1</v>
      </c>
      <c r="F3" s="7" t="s">
        <v>2</v>
      </c>
    </row>
    <row r="4" spans="1:6" x14ac:dyDescent="0.25">
      <c r="A4" s="4" t="s">
        <v>3</v>
      </c>
      <c r="B4" s="4">
        <v>4</v>
      </c>
      <c r="C4" s="4">
        <v>5</v>
      </c>
      <c r="D4" s="4">
        <v>4</v>
      </c>
      <c r="E4" s="6" t="s">
        <v>4</v>
      </c>
      <c r="F4" s="7" t="s">
        <v>5</v>
      </c>
    </row>
    <row r="5" spans="1:6" x14ac:dyDescent="0.25">
      <c r="A5" s="4" t="s">
        <v>6</v>
      </c>
      <c r="B5" s="4">
        <v>4</v>
      </c>
      <c r="C5" s="4">
        <v>5</v>
      </c>
      <c r="D5" s="4">
        <v>4</v>
      </c>
      <c r="E5" s="6" t="s">
        <v>7</v>
      </c>
      <c r="F5" s="7" t="s">
        <v>8</v>
      </c>
    </row>
    <row r="6" spans="1:6" x14ac:dyDescent="0.25">
      <c r="A6" s="4" t="s">
        <v>9</v>
      </c>
      <c r="B6" s="4">
        <v>3</v>
      </c>
      <c r="C6" s="4">
        <v>5</v>
      </c>
      <c r="D6" s="4">
        <v>5</v>
      </c>
      <c r="E6" s="6" t="s">
        <v>10</v>
      </c>
      <c r="F6" s="7" t="s">
        <v>11</v>
      </c>
    </row>
    <row r="7" spans="1:6" x14ac:dyDescent="0.25">
      <c r="A7" s="4" t="s">
        <v>12</v>
      </c>
      <c r="B7" s="4">
        <v>3</v>
      </c>
      <c r="C7" s="4">
        <v>2</v>
      </c>
      <c r="D7" s="4">
        <v>0</v>
      </c>
      <c r="E7" s="6" t="s">
        <v>13</v>
      </c>
      <c r="F7" s="7" t="s">
        <v>14</v>
      </c>
    </row>
    <row r="8" spans="1:6" x14ac:dyDescent="0.25">
      <c r="A8" s="4" t="s">
        <v>15</v>
      </c>
      <c r="B8" s="4">
        <v>4</v>
      </c>
      <c r="C8" s="4">
        <v>3</v>
      </c>
      <c r="D8" s="4">
        <v>2</v>
      </c>
      <c r="E8" s="6" t="s">
        <v>16</v>
      </c>
      <c r="F8" s="7" t="s">
        <v>17</v>
      </c>
    </row>
    <row r="9" spans="1:6" x14ac:dyDescent="0.25">
      <c r="A9" s="4" t="s">
        <v>18</v>
      </c>
      <c r="B9" s="4">
        <v>5</v>
      </c>
      <c r="C9" s="4">
        <v>5</v>
      </c>
      <c r="D9" s="4">
        <v>5</v>
      </c>
      <c r="E9" s="6" t="s">
        <v>19</v>
      </c>
      <c r="F9" s="7" t="s">
        <v>20</v>
      </c>
    </row>
    <row r="10" spans="1:6" x14ac:dyDescent="0.25">
      <c r="A10" s="4" t="s">
        <v>21</v>
      </c>
      <c r="B10" s="4">
        <v>4</v>
      </c>
      <c r="C10" s="4">
        <v>3</v>
      </c>
      <c r="D10" s="4">
        <v>4</v>
      </c>
      <c r="E10" s="6" t="s">
        <v>22</v>
      </c>
      <c r="F10" s="7" t="s">
        <v>23</v>
      </c>
    </row>
    <row r="11" spans="1:6" x14ac:dyDescent="0.25">
      <c r="A11" s="4" t="s">
        <v>24</v>
      </c>
      <c r="B11" s="4">
        <v>4</v>
      </c>
      <c r="C11" s="4">
        <v>4</v>
      </c>
      <c r="D11" s="4">
        <v>4</v>
      </c>
      <c r="E11" s="6" t="s">
        <v>25</v>
      </c>
      <c r="F11" s="7" t="s">
        <v>26</v>
      </c>
    </row>
    <row r="12" spans="1:6" x14ac:dyDescent="0.25">
      <c r="A12" s="4" t="s">
        <v>27</v>
      </c>
      <c r="B12" s="4">
        <v>3</v>
      </c>
      <c r="C12" s="4">
        <v>4</v>
      </c>
      <c r="D12" s="4">
        <v>4</v>
      </c>
      <c r="E12" s="6" t="s">
        <v>28</v>
      </c>
      <c r="F12" s="7" t="s">
        <v>29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G13" sqref="G13"/>
    </sheetView>
  </sheetViews>
  <sheetFormatPr defaultRowHeight="15" x14ac:dyDescent="0.25"/>
  <cols>
    <col min="1" max="1" width="18.42578125" customWidth="1"/>
    <col min="2" max="4" width="5.85546875" customWidth="1"/>
    <col min="5" max="5" width="13.42578125" customWidth="1"/>
    <col min="6" max="6" width="14.5703125" customWidth="1"/>
  </cols>
  <sheetData>
    <row r="1" spans="1:6" x14ac:dyDescent="0.25">
      <c r="A1" s="1" t="s">
        <v>30</v>
      </c>
      <c r="B1" s="2"/>
      <c r="C1" s="2"/>
      <c r="D1" s="2"/>
      <c r="E1" s="2"/>
      <c r="F1" s="3"/>
    </row>
    <row r="2" spans="1:6" ht="67.5" customHeight="1" x14ac:dyDescent="0.25">
      <c r="A2" s="11" t="s">
        <v>37</v>
      </c>
      <c r="B2" s="12" t="s">
        <v>32</v>
      </c>
      <c r="C2" s="12" t="s">
        <v>38</v>
      </c>
      <c r="D2" s="12" t="s">
        <v>34</v>
      </c>
      <c r="E2" s="9" t="s">
        <v>35</v>
      </c>
      <c r="F2" s="9" t="s">
        <v>36</v>
      </c>
    </row>
    <row r="3" spans="1:6" x14ac:dyDescent="0.25">
      <c r="A3" s="10" t="s">
        <v>0</v>
      </c>
      <c r="B3" s="10">
        <v>5</v>
      </c>
      <c r="C3" s="10">
        <v>4</v>
      </c>
      <c r="D3" s="10">
        <v>3</v>
      </c>
      <c r="E3" s="10">
        <f>SUM(B3,C3,D3)</f>
        <v>12</v>
      </c>
      <c r="F3" s="13">
        <f>SUM(B3,C3,D3)/3</f>
        <v>4</v>
      </c>
    </row>
    <row r="4" spans="1:6" x14ac:dyDescent="0.25">
      <c r="A4" s="10" t="s">
        <v>3</v>
      </c>
      <c r="B4" s="10">
        <v>4</v>
      </c>
      <c r="C4" s="10">
        <v>5</v>
      </c>
      <c r="D4" s="10">
        <v>4</v>
      </c>
      <c r="E4" s="10">
        <f>SUM(B4,C4,D4)</f>
        <v>13</v>
      </c>
      <c r="F4" s="13">
        <f>SUM(B4,C4,D4)/3</f>
        <v>4.333333333333333</v>
      </c>
    </row>
    <row r="5" spans="1:6" x14ac:dyDescent="0.25">
      <c r="A5" s="10" t="s">
        <v>6</v>
      </c>
      <c r="B5" s="10">
        <v>4</v>
      </c>
      <c r="C5" s="10">
        <v>5</v>
      </c>
      <c r="D5" s="10">
        <v>4</v>
      </c>
      <c r="E5" s="10">
        <f>SUM(B5,C5,D5)</f>
        <v>13</v>
      </c>
      <c r="F5" s="13">
        <f>SUM(B5,C5,D5)/3</f>
        <v>4.333333333333333</v>
      </c>
    </row>
    <row r="6" spans="1:6" x14ac:dyDescent="0.25">
      <c r="A6" s="10" t="s">
        <v>9</v>
      </c>
      <c r="B6" s="10">
        <v>3</v>
      </c>
      <c r="C6" s="10">
        <v>5</v>
      </c>
      <c r="D6" s="10">
        <v>5</v>
      </c>
      <c r="E6" s="10">
        <f>SUM(B6:D6)</f>
        <v>13</v>
      </c>
      <c r="F6" s="13">
        <f>SUM(B6:D6)/3</f>
        <v>4.333333333333333</v>
      </c>
    </row>
    <row r="7" spans="1:6" x14ac:dyDescent="0.25">
      <c r="A7" s="10" t="s">
        <v>12</v>
      </c>
      <c r="B7" s="10">
        <v>3</v>
      </c>
      <c r="C7" s="10">
        <v>2</v>
      </c>
      <c r="D7" s="10">
        <v>0</v>
      </c>
      <c r="E7" s="10">
        <f>SUM(B7:C7)</f>
        <v>5</v>
      </c>
      <c r="F7" s="13">
        <f>SUM(B7:C7)/3</f>
        <v>1.6666666666666667</v>
      </c>
    </row>
    <row r="8" spans="1:6" x14ac:dyDescent="0.25">
      <c r="A8" s="10" t="s">
        <v>15</v>
      </c>
      <c r="B8" s="10">
        <v>4</v>
      </c>
      <c r="C8" s="10">
        <v>3</v>
      </c>
      <c r="D8" s="10">
        <v>2</v>
      </c>
      <c r="E8" s="10">
        <f>SUM(B8:D8)</f>
        <v>9</v>
      </c>
      <c r="F8" s="13">
        <f>SUM(B8:D8)/3</f>
        <v>3</v>
      </c>
    </row>
    <row r="9" spans="1:6" x14ac:dyDescent="0.25">
      <c r="A9" s="10" t="s">
        <v>18</v>
      </c>
      <c r="B9" s="10">
        <v>5</v>
      </c>
      <c r="C9" s="10">
        <v>5</v>
      </c>
      <c r="D9" s="10">
        <v>5</v>
      </c>
      <c r="E9" s="10">
        <f>SUM(B9:D9)</f>
        <v>15</v>
      </c>
      <c r="F9" s="13">
        <v>5</v>
      </c>
    </row>
    <row r="10" spans="1:6" x14ac:dyDescent="0.25">
      <c r="A10" s="10" t="s">
        <v>21</v>
      </c>
      <c r="B10" s="10">
        <v>4</v>
      </c>
      <c r="C10" s="10">
        <v>3</v>
      </c>
      <c r="D10" s="10">
        <v>4</v>
      </c>
      <c r="E10" s="10">
        <f>SUM(B10:D10)</f>
        <v>11</v>
      </c>
      <c r="F10" s="13">
        <f>SUM(B10:D10)/3</f>
        <v>3.6666666666666665</v>
      </c>
    </row>
    <row r="11" spans="1:6" x14ac:dyDescent="0.25">
      <c r="A11" s="10" t="s">
        <v>24</v>
      </c>
      <c r="B11" s="10">
        <v>4</v>
      </c>
      <c r="C11" s="10">
        <v>4</v>
      </c>
      <c r="D11" s="10">
        <v>4</v>
      </c>
      <c r="E11" s="10">
        <f>SUM(B11:D11)</f>
        <v>12</v>
      </c>
      <c r="F11" s="13">
        <f>SUM(B11:D11)/3</f>
        <v>4</v>
      </c>
    </row>
    <row r="12" spans="1:6" x14ac:dyDescent="0.25">
      <c r="A12" s="10" t="s">
        <v>27</v>
      </c>
      <c r="B12" s="10">
        <v>3</v>
      </c>
      <c r="C12" s="10">
        <v>4</v>
      </c>
      <c r="D12" s="10">
        <v>4</v>
      </c>
      <c r="E12" s="10">
        <f>SUM(B12:D12)</f>
        <v>11</v>
      </c>
      <c r="F12" s="13">
        <f>SUM(B12:D12)/3</f>
        <v>3.6666666666666665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0" sqref="B10"/>
    </sheetView>
  </sheetViews>
  <sheetFormatPr defaultRowHeight="15" x14ac:dyDescent="0.25"/>
  <cols>
    <col min="1" max="1" width="19" customWidth="1"/>
    <col min="2" max="2" width="13.42578125" customWidth="1"/>
    <col min="3" max="3" width="11.5703125" customWidth="1"/>
    <col min="4" max="4" width="15" customWidth="1"/>
  </cols>
  <sheetData>
    <row r="1" spans="1:4" ht="40.5" customHeight="1" x14ac:dyDescent="0.25">
      <c r="A1" s="17" t="s">
        <v>49</v>
      </c>
      <c r="B1" s="16" t="s">
        <v>50</v>
      </c>
      <c r="C1" s="16" t="s">
        <v>39</v>
      </c>
      <c r="D1" s="16" t="s">
        <v>51</v>
      </c>
    </row>
    <row r="2" spans="1:4" x14ac:dyDescent="0.25">
      <c r="A2" s="14" t="s">
        <v>40</v>
      </c>
      <c r="B2" s="14">
        <v>31.5</v>
      </c>
      <c r="C2" s="14">
        <v>1520</v>
      </c>
      <c r="D2" s="14">
        <v>456</v>
      </c>
    </row>
    <row r="3" spans="1:4" x14ac:dyDescent="0.25">
      <c r="A3" s="14" t="s">
        <v>41</v>
      </c>
      <c r="B3" s="14">
        <v>34</v>
      </c>
      <c r="C3" s="14">
        <v>14701</v>
      </c>
      <c r="D3" s="14">
        <v>773</v>
      </c>
    </row>
    <row r="4" spans="1:4" x14ac:dyDescent="0.25">
      <c r="A4" s="14" t="s">
        <v>42</v>
      </c>
      <c r="B4" s="14">
        <v>68</v>
      </c>
      <c r="C4" s="14">
        <v>80</v>
      </c>
      <c r="D4" s="14">
        <v>1134</v>
      </c>
    </row>
    <row r="5" spans="1:4" x14ac:dyDescent="0.25">
      <c r="A5" s="14" t="s">
        <v>43</v>
      </c>
      <c r="B5" s="14">
        <v>59.6</v>
      </c>
      <c r="C5" s="14">
        <v>288</v>
      </c>
      <c r="D5" s="14">
        <v>177</v>
      </c>
    </row>
    <row r="6" spans="1:4" x14ac:dyDescent="0.25">
      <c r="A6" s="14" t="s">
        <v>44</v>
      </c>
      <c r="B6" s="14">
        <v>51.1</v>
      </c>
      <c r="C6" s="14">
        <v>61</v>
      </c>
      <c r="D6" s="14">
        <v>53</v>
      </c>
    </row>
    <row r="7" spans="1:4" x14ac:dyDescent="0.25">
      <c r="A7" s="14" t="s">
        <v>45</v>
      </c>
      <c r="B7" s="14">
        <v>58</v>
      </c>
      <c r="C7" s="14">
        <v>281</v>
      </c>
      <c r="D7" s="14">
        <v>177</v>
      </c>
    </row>
    <row r="8" spans="1:4" ht="30" x14ac:dyDescent="0.25">
      <c r="A8" s="15" t="s">
        <v>46</v>
      </c>
      <c r="B8" s="14">
        <f>C6</f>
        <v>61</v>
      </c>
      <c r="C8" s="14"/>
      <c r="D8" s="14"/>
    </row>
    <row r="9" spans="1:4" ht="45" x14ac:dyDescent="0.25">
      <c r="A9" s="15" t="s">
        <v>47</v>
      </c>
      <c r="B9" s="14">
        <f>B4</f>
        <v>68</v>
      </c>
      <c r="C9" s="14"/>
      <c r="D9" s="14"/>
    </row>
    <row r="10" spans="1:4" ht="45" x14ac:dyDescent="0.25">
      <c r="A10" s="15" t="s">
        <v>48</v>
      </c>
      <c r="B10" s="14">
        <f>SUM(D2:D7)/6</f>
        <v>461.66666666666669</v>
      </c>
      <c r="C10" s="14"/>
      <c r="D1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J8" sqref="J8"/>
    </sheetView>
  </sheetViews>
  <sheetFormatPr defaultRowHeight="15" x14ac:dyDescent="0.25"/>
  <cols>
    <col min="2" max="2" width="15.5703125" customWidth="1"/>
  </cols>
  <sheetData>
    <row r="1" spans="1:10" ht="69.75" x14ac:dyDescent="0.25">
      <c r="A1" s="23" t="s">
        <v>52</v>
      </c>
      <c r="B1" s="19" t="s">
        <v>53</v>
      </c>
      <c r="C1" s="25" t="s">
        <v>54</v>
      </c>
      <c r="D1" s="25" t="s">
        <v>55</v>
      </c>
      <c r="E1" s="25" t="s">
        <v>56</v>
      </c>
      <c r="F1" s="25" t="s">
        <v>57</v>
      </c>
      <c r="G1" s="25" t="s">
        <v>38</v>
      </c>
      <c r="H1" s="25" t="s">
        <v>58</v>
      </c>
      <c r="I1" s="25" t="s">
        <v>59</v>
      </c>
      <c r="J1" s="20" t="s">
        <v>60</v>
      </c>
    </row>
    <row r="2" spans="1:10" x14ac:dyDescent="0.25">
      <c r="A2" s="24">
        <v>1</v>
      </c>
      <c r="B2" s="24" t="s">
        <v>61</v>
      </c>
      <c r="C2" s="21">
        <v>4</v>
      </c>
      <c r="D2" s="22">
        <v>5</v>
      </c>
      <c r="E2" s="22">
        <v>5</v>
      </c>
      <c r="F2" s="22">
        <v>5</v>
      </c>
      <c r="G2" s="22">
        <v>5</v>
      </c>
      <c r="H2" s="22">
        <v>5</v>
      </c>
      <c r="I2" s="22">
        <v>5</v>
      </c>
      <c r="J2" s="21">
        <f>SUM(C2:I2)/7</f>
        <v>4.8571428571428568</v>
      </c>
    </row>
    <row r="3" spans="1:10" x14ac:dyDescent="0.25">
      <c r="A3" s="24">
        <v>2</v>
      </c>
      <c r="B3" s="24" t="s">
        <v>62</v>
      </c>
      <c r="C3" s="26">
        <v>3</v>
      </c>
      <c r="D3" s="26">
        <v>3</v>
      </c>
      <c r="E3" s="26">
        <v>3</v>
      </c>
      <c r="F3" s="26">
        <v>3</v>
      </c>
      <c r="G3" s="26">
        <v>3</v>
      </c>
      <c r="H3" s="26">
        <v>3</v>
      </c>
      <c r="I3" s="26">
        <v>3</v>
      </c>
      <c r="J3" s="26">
        <f>SUM(C3:I3)/7</f>
        <v>3</v>
      </c>
    </row>
    <row r="4" spans="1:10" x14ac:dyDescent="0.25">
      <c r="A4" s="24">
        <v>3</v>
      </c>
      <c r="B4" s="24" t="s">
        <v>63</v>
      </c>
      <c r="C4" s="26">
        <v>2</v>
      </c>
      <c r="D4" s="21">
        <v>4</v>
      </c>
      <c r="E4" s="21">
        <v>4</v>
      </c>
      <c r="F4" s="21">
        <v>4</v>
      </c>
      <c r="G4" s="21">
        <v>4</v>
      </c>
      <c r="H4" s="21">
        <v>4</v>
      </c>
      <c r="I4" s="21">
        <v>4</v>
      </c>
      <c r="J4" s="26">
        <v>3.71</v>
      </c>
    </row>
    <row r="5" spans="1:10" x14ac:dyDescent="0.25">
      <c r="A5" s="24">
        <v>4</v>
      </c>
      <c r="B5" s="24" t="s">
        <v>64</v>
      </c>
      <c r="C5" s="21">
        <v>4</v>
      </c>
      <c r="D5" s="21">
        <v>4</v>
      </c>
      <c r="E5" s="22">
        <v>5</v>
      </c>
      <c r="F5" s="22">
        <v>5</v>
      </c>
      <c r="G5" s="22">
        <v>5</v>
      </c>
      <c r="H5" s="22">
        <v>5</v>
      </c>
      <c r="I5" s="22">
        <v>5</v>
      </c>
      <c r="J5" s="21">
        <f>SUM(C5:I5)/7</f>
        <v>4.7142857142857144</v>
      </c>
    </row>
    <row r="6" spans="1:10" x14ac:dyDescent="0.25">
      <c r="A6" s="24">
        <v>5</v>
      </c>
      <c r="B6" s="24" t="s">
        <v>65</v>
      </c>
      <c r="C6" s="26">
        <v>3</v>
      </c>
      <c r="D6" s="22">
        <v>5</v>
      </c>
      <c r="E6" s="21">
        <v>4</v>
      </c>
      <c r="F6" s="21">
        <v>4</v>
      </c>
      <c r="G6" s="21">
        <v>4</v>
      </c>
      <c r="H6" s="21">
        <v>4</v>
      </c>
      <c r="I6" s="21">
        <v>4</v>
      </c>
      <c r="J6" s="21">
        <f>SUM(C6:I6)/7</f>
        <v>4</v>
      </c>
    </row>
    <row r="7" spans="1:10" x14ac:dyDescent="0.25">
      <c r="A7" s="18" t="s">
        <v>66</v>
      </c>
      <c r="B7" s="18"/>
      <c r="C7" s="26">
        <v>3.2</v>
      </c>
      <c r="D7" s="21">
        <v>4.2</v>
      </c>
      <c r="E7" s="21">
        <v>4.2</v>
      </c>
      <c r="F7" s="21">
        <v>4.2</v>
      </c>
      <c r="G7" s="21">
        <v>4.2</v>
      </c>
      <c r="H7" s="21">
        <v>4.2</v>
      </c>
      <c r="I7" s="21">
        <v>4.2</v>
      </c>
      <c r="J7" s="21">
        <f>SUM(C7:I7)/7</f>
        <v>4.0571428571428569</v>
      </c>
    </row>
  </sheetData>
  <mergeCells count="1">
    <mergeCell ref="A7:B7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2025-01-26T21:18:00Z</dcterms:created>
  <dcterms:modified xsi:type="dcterms:W3CDTF">2025-01-26T21:47:14Z</dcterms:modified>
</cp:coreProperties>
</file>